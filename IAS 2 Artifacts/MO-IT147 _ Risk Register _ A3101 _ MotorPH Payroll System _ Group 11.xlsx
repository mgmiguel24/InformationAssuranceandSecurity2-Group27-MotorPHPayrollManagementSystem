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 NOT DELETE" sheetId="1" r:id="rId5"/>
    <sheet state="visible" name="Project Information" sheetId="2" r:id="rId6"/>
    <sheet state="visible" name="Risk Identification" sheetId="3" r:id="rId7"/>
    <sheet state="visible" name="Risk Assessment" sheetId="4" r:id="rId8"/>
    <sheet state="visible" name="Risk Mitigation" sheetId="5" r:id="rId9"/>
    <sheet state="visible" name="Risk Monitoring and Review" sheetId="6" r:id="rId10"/>
    <sheet state="visible" name="Team Contributions Table " sheetId="7" r:id="rId11"/>
  </sheets>
  <definedNames/>
  <calcPr/>
</workbook>
</file>

<file path=xl/sharedStrings.xml><?xml version="1.0" encoding="utf-8"?>
<sst xmlns="http://schemas.openxmlformats.org/spreadsheetml/2006/main" count="192" uniqueCount="163">
  <si>
    <r>
      <rPr>
        <rFont val="Nunito"/>
        <color theme="1"/>
        <sz val="13.0"/>
      </rPr>
      <t xml:space="preserve">This template is an exclusive property of </t>
    </r>
    <r>
      <rPr>
        <rFont val="Nunito"/>
        <b/>
        <color theme="1"/>
        <sz val="13.0"/>
      </rPr>
      <t xml:space="preserve">Mapua-Malayan Digital College </t>
    </r>
    <r>
      <rPr>
        <rFont val="Nunito"/>
        <color theme="1"/>
        <sz val="13.0"/>
      </rPr>
      <t xml:space="preserve">and is protected under </t>
    </r>
    <r>
      <rPr>
        <rFont val="Nunito"/>
        <b/>
        <color theme="1"/>
        <sz val="13.0"/>
      </rPr>
      <t>Republic Act No. 8293</t>
    </r>
    <r>
      <rPr>
        <rFont val="Nunito"/>
        <color theme="1"/>
        <sz val="13.0"/>
      </rPr>
      <t xml:space="preserve">, also known as the </t>
    </r>
    <r>
      <rPr>
        <rFont val="Nunito"/>
        <i/>
        <color theme="1"/>
        <sz val="13.0"/>
      </rPr>
      <t>Intellectual Property Code of the Philippines</t>
    </r>
    <r>
      <rPr>
        <rFont val="Nunito"/>
        <color theme="1"/>
        <sz val="13.0"/>
      </rPr>
      <t xml:space="preserve"> (IP Code). It is provided solely for educational purposes within this course. Students may use this template to complete their tasks but may not </t>
    </r>
    <r>
      <rPr>
        <rFont val="Nunito"/>
        <b/>
        <color theme="1"/>
        <sz val="13.0"/>
      </rPr>
      <t>modify</t>
    </r>
    <r>
      <rPr>
        <rFont val="Nunito"/>
        <color theme="1"/>
        <sz val="13.0"/>
      </rPr>
      <t xml:space="preserve">, </t>
    </r>
    <r>
      <rPr>
        <rFont val="Nunito"/>
        <b/>
        <color theme="1"/>
        <sz val="13.0"/>
      </rPr>
      <t>distribute</t>
    </r>
    <r>
      <rPr>
        <rFont val="Nunito"/>
        <color theme="1"/>
        <sz val="13.0"/>
      </rPr>
      <t xml:space="preserve">, </t>
    </r>
    <r>
      <rPr>
        <rFont val="Nunito"/>
        <b/>
        <color theme="1"/>
        <sz val="13.0"/>
      </rPr>
      <t>sell</t>
    </r>
    <r>
      <rPr>
        <rFont val="Nunito"/>
        <color theme="1"/>
        <sz val="13.0"/>
      </rPr>
      <t xml:space="preserve">, </t>
    </r>
    <r>
      <rPr>
        <rFont val="Nunito"/>
        <b/>
        <color theme="1"/>
        <sz val="13.0"/>
      </rPr>
      <t>upload</t>
    </r>
    <r>
      <rPr>
        <rFont val="Nunito"/>
        <color theme="1"/>
        <sz val="13.0"/>
      </rPr>
      <t xml:space="preserve">, or </t>
    </r>
    <r>
      <rPr>
        <rFont val="Nunito"/>
        <b/>
        <color theme="1"/>
        <sz val="13.0"/>
      </rPr>
      <t>claim ownership</t>
    </r>
    <r>
      <rPr>
        <rFont val="Nunito"/>
        <color theme="1"/>
        <sz val="13.0"/>
      </rPr>
      <t xml:space="preserve"> of the template itself. Such actions constitute copyright infringement under </t>
    </r>
    <r>
      <rPr>
        <rFont val="Nunito"/>
        <b/>
        <color theme="1"/>
        <sz val="13.0"/>
      </rPr>
      <t xml:space="preserve">Sections 172, 177, </t>
    </r>
    <r>
      <rPr>
        <rFont val="Nunito"/>
        <color theme="1"/>
        <sz val="13.0"/>
      </rPr>
      <t>and</t>
    </r>
    <r>
      <rPr>
        <rFont val="Nunito"/>
        <b/>
        <color theme="1"/>
        <sz val="13.0"/>
      </rPr>
      <t xml:space="preserve"> 216</t>
    </r>
    <r>
      <rPr>
        <rFont val="Nunito"/>
        <color theme="1"/>
        <sz val="13.0"/>
      </rPr>
      <t xml:space="preserve"> of the IP Code and may result in legal consequences. Unauthorized use beyond this course may result in legal or academic consequences.
Additionally, students must comply with the </t>
    </r>
    <r>
      <rPr>
        <rFont val="Nunito"/>
        <b/>
        <color theme="1"/>
        <sz val="13.0"/>
      </rPr>
      <t>Mapua-Malayan Digital College Student Handbook</t>
    </r>
    <r>
      <rPr>
        <rFont val="Nunito"/>
        <color theme="1"/>
        <sz val="13.0"/>
      </rPr>
      <t xml:space="preserve">, particularly with the following provisions:
</t>
    </r>
    <r>
      <rPr>
        <rFont val="Nunito"/>
        <b/>
        <color theme="1"/>
        <sz val="13.0"/>
      </rPr>
      <t>* Offenses Related to MMDC IT:</t>
    </r>
    <r>
      <rPr>
        <rFont val="Nunito"/>
        <color theme="1"/>
        <sz val="13.0"/>
      </rPr>
      <t xml:space="preserve">
       - Section 6.2 – Unauthorized copying of files
       - Section 6.8 – Extraction of protected, copyrighted, and/or confidential information by electronic means using MMDC IT infrastructure
</t>
    </r>
    <r>
      <rPr>
        <rFont val="Nunito"/>
        <b/>
        <color theme="1"/>
        <sz val="13.0"/>
      </rPr>
      <t>* Offenses Related to MMDC Admin, IT, and Operations:</t>
    </r>
    <r>
      <rPr>
        <rFont val="Nunito"/>
        <color theme="1"/>
        <sz val="13.0"/>
      </rPr>
      <t xml:space="preserve">
       - Section 4.5 – Unauthorized collection or extraction of money, checks, or other instruments of monetary equivalent in connection with matters pertaining to MMDC
Violations of these policies may result in disciplinary actions ranging from </t>
    </r>
    <r>
      <rPr>
        <rFont val="Nunito"/>
        <b/>
        <color theme="1"/>
        <sz val="13.0"/>
      </rPr>
      <t>suspension</t>
    </r>
    <r>
      <rPr>
        <rFont val="Nunito"/>
        <color theme="1"/>
        <sz val="13.0"/>
      </rPr>
      <t xml:space="preserve"> to </t>
    </r>
    <r>
      <rPr>
        <rFont val="Nunito"/>
        <b/>
        <color theme="1"/>
        <sz val="13.0"/>
      </rPr>
      <t>dismissal</t>
    </r>
    <r>
      <rPr>
        <rFont val="Nunito"/>
        <color theme="1"/>
        <sz val="13.0"/>
      </rPr>
      <t xml:space="preserve">, in accordance with the Student Handbook.
For permissions or inquiries, please contact MMDC-ISD at isd@mmdc.mcl.edu.ph.
</t>
    </r>
  </si>
  <si>
    <t>MO-IT147 Information Assurance and Security 1</t>
  </si>
  <si>
    <t>Risk Assessment</t>
  </si>
  <si>
    <t>Risk Identification</t>
  </si>
  <si>
    <t>Project Information</t>
  </si>
  <si>
    <t>Risk ID</t>
  </si>
  <si>
    <t>Welcome to the Risk Register for your selected project! This document will guide you through the risk management process, from identification to review. Follow the instructions carefully as you complete each section.</t>
  </si>
  <si>
    <t>Risk Description</t>
  </si>
  <si>
    <t>System Component Affected</t>
  </si>
  <si>
    <t>Likelihood</t>
  </si>
  <si>
    <t>Potential Impact</t>
  </si>
  <si>
    <t>Threat Source</t>
  </si>
  <si>
    <t>Justification</t>
  </si>
  <si>
    <t xml:space="preserve">	CIA Impact</t>
  </si>
  <si>
    <t>Impact</t>
  </si>
  <si>
    <t>Risk Appetite Level</t>
  </si>
  <si>
    <t>How to Use This Risk Register:</t>
  </si>
  <si>
    <t>Risk Tolerance Threshold</t>
  </si>
  <si>
    <t>Reason for Identification</t>
  </si>
  <si>
    <t>Risk Level</t>
  </si>
  <si>
    <t>RISK-001</t>
  </si>
  <si>
    <r>
      <rPr>
        <rFont val="Nunito"/>
        <b/>
        <color theme="1"/>
      </rPr>
      <t>Project Information Tab:</t>
    </r>
    <r>
      <rPr>
        <rFont val="Nunito"/>
        <color theme="1"/>
      </rPr>
      <t xml:space="preserve"> Enter team details and describe your chosen system.</t>
    </r>
  </si>
  <si>
    <r>
      <rPr>
        <rFont val="Nunito"/>
        <b/>
        <color theme="1"/>
      </rPr>
      <t xml:space="preserve">Risk Identification Tab: </t>
    </r>
    <r>
      <rPr>
        <rFont val="Nunito"/>
        <color theme="1"/>
      </rPr>
      <t>Identify security risks, determine threat sources, and assess CIA impact.</t>
    </r>
  </si>
  <si>
    <r>
      <rPr>
        <rFont val="Nunito"/>
        <b/>
        <color rgb="FF000000"/>
      </rPr>
      <t>Unauthorized Salary Peeking:</t>
    </r>
    <r>
      <rPr>
        <rFont val="Nunito"/>
        <color rgb="FF000000"/>
      </rPr>
      <t xml:space="preserve"> An employee bypassing role checks to see another's salary.</t>
    </r>
  </si>
  <si>
    <r>
      <rPr>
        <rFont val="Nunito"/>
        <b/>
        <color theme="1"/>
      </rPr>
      <t xml:space="preserve">Risk Assessment Tab: </t>
    </r>
    <r>
      <rPr>
        <rFont val="Nunito"/>
        <color theme="1"/>
      </rPr>
      <t>Evaluate the likelihood and impact of each risk to prioritize mitigation.</t>
    </r>
  </si>
  <si>
    <t>User Authentication &amp; Role-Based Access.</t>
  </si>
  <si>
    <r>
      <rPr>
        <rFont val="Nunito"/>
        <b/>
        <color theme="1"/>
      </rPr>
      <t xml:space="preserve">Risk Mitigation Tab: </t>
    </r>
    <r>
      <rPr>
        <rFont val="Nunito"/>
        <color theme="1"/>
      </rPr>
      <t>Select mitigation strategies and security controls to reduce risk levels.</t>
    </r>
  </si>
  <si>
    <t>Unauthorized access to employee payroll records can allow for disclosure of confidential employee information including salary, bank account information, tax records and personal employee information. This can result in privacy breaches, risk of identity theft, loss of employee trust in the company, and potential legal liability for not safeguarding confidential payroll data.</t>
  </si>
  <si>
    <r>
      <rPr>
        <rFont val="Nunito"/>
        <b/>
        <color rgb="FF000000"/>
      </rPr>
      <t>Internal (Malicious):</t>
    </r>
    <r>
      <rPr>
        <rFont val="Nunito"/>
        <color rgb="FF000000"/>
      </rPr>
      <t xml:space="preserve"> Regular employees exploiting weak RBAC logic.</t>
    </r>
  </si>
  <si>
    <r>
      <rPr>
        <rFont val="Nunito"/>
        <b/>
        <color theme="1"/>
      </rPr>
      <t>Risk Monitoring &amp; Review Tab:</t>
    </r>
    <r>
      <rPr>
        <rFont val="Nunito"/>
        <color theme="1"/>
      </rPr>
      <t xml:space="preserve"> Track security incidents, assess risk trends, and refine security measures.</t>
    </r>
  </si>
  <si>
    <t>Confidentiality</t>
  </si>
  <si>
    <t>Low</t>
  </si>
  <si>
    <t>Zero tolerance for unvalidated or dynamic SQL queries. All database interactions must use parameterized queries or ORM safeguards. Any detected injection attempt must trigger immediate alerting, session termination, and logging.</t>
  </si>
  <si>
    <t>This risk was identified because the system implements role-based access control that may not be consistently enforced across all application layers, creating a vulnerability where access restrictions can be bypassed. This can be exploited by internal users, resulting in unauthorized access to sensitive payroll data.</t>
  </si>
  <si>
    <t>Team and Project Details</t>
  </si>
  <si>
    <t>RISK-002</t>
  </si>
  <si>
    <t>Risk Mitigation</t>
  </si>
  <si>
    <r>
      <rPr>
        <rFont val="Nunito"/>
        <b/>
        <color theme="1"/>
      </rPr>
      <t>SQL Injection via Search:</t>
    </r>
    <r>
      <rPr>
        <rFont val="Nunito"/>
        <color theme="1"/>
      </rPr>
      <t xml:space="preserve"> Hackers using the employee search bar to dump the whole database.</t>
    </r>
  </si>
  <si>
    <t>Database Integration (JDBC/ORM).</t>
  </si>
  <si>
    <t>Successful SQL injection attack can give attackers the ability to alter, steal or destroy payroll database records. This may lead to payroll system disruption, compromised payroll data, unauthorized extraction of employee information, and payroll inaccuracies in the system.</t>
  </si>
  <si>
    <r>
      <rPr>
        <rFont val="Nunito"/>
        <b/>
        <color theme="1"/>
      </rPr>
      <t xml:space="preserve">External (Adversarial): </t>
    </r>
    <r>
      <rPr>
        <rFont val="Nunito"/>
        <color theme="1"/>
      </rPr>
      <t>Cybercriminals exploiting unvalidated JDBC queries.</t>
    </r>
  </si>
  <si>
    <t>Team Name</t>
  </si>
  <si>
    <t>Confidentiality &amp; Integrity</t>
  </si>
  <si>
    <t>Zero tolerance for unauthorized modification of payroll data. All payroll changes must require proper authorization, multi-level approval (if applicable), and complete audit logging of all transactions.</t>
  </si>
  <si>
    <t>This risk was identified because the system relies on user input in database queries without guaranteed input validation or parameterized statements, introducing a vulnerability that can be exploited by external attackers. This may result in unauthorized data access, extraction, or manipulation of payroll records.</t>
  </si>
  <si>
    <t>RISK-003</t>
  </si>
  <si>
    <t>Group 11</t>
  </si>
  <si>
    <t>Team Members and Roles</t>
  </si>
  <si>
    <r>
      <rPr>
        <rFont val="Nunito"/>
        <b/>
        <color theme="1"/>
      </rPr>
      <t>Payroll Logic Tampering:</t>
    </r>
    <r>
      <rPr>
        <rFont val="Nunito"/>
        <color theme="1"/>
      </rPr>
      <t xml:space="preserve"> Someone modifying the code or database to "boost" their bonus.</t>
    </r>
  </si>
  <si>
    <t>Application Logic / Payroll Processing.</t>
  </si>
  <si>
    <t>Unauthorized access to payroll information could lead to wrong salary calculations, false payroll adjustments, or attendance and deduction manipulation. This could lead to financial loss, payroll issues, and incorrect financial reporting.</t>
  </si>
  <si>
    <r>
      <rPr>
        <rFont val="Nunito"/>
        <b/>
        <color theme="1"/>
      </rPr>
      <t xml:space="preserve">Internal (Malicious): </t>
    </r>
    <r>
      <rPr>
        <rFont val="Nunito"/>
        <color theme="1"/>
      </rPr>
      <t>Insider with database access or developer-level privileges.</t>
    </r>
  </si>
  <si>
    <t>Integrity</t>
  </si>
  <si>
    <t>Medium</t>
  </si>
  <si>
    <t>This risk was identified because the system allows privileged access to payroll logic and database modifications without strict enforcement of access restrictions or monitoring, creating a vulnerability that can be exploited by insiders. This may lead to unauthorized changes in salary computations and financial records.</t>
  </si>
  <si>
    <t>RISK-004</t>
  </si>
  <si>
    <t>AOOP focuses on functionality; role-based access logic may be incomplete or bypassable through direct class calls.</t>
  </si>
  <si>
    <t>Member 1: Abigail Fay Ramos (Project Coordinator)</t>
  </si>
  <si>
    <r>
      <rPr>
        <rFont val="Nunito"/>
        <b/>
        <color theme="1"/>
      </rPr>
      <t>Credential Exposure:</t>
    </r>
    <r>
      <rPr>
        <rFont val="Nunito"/>
        <color theme="1"/>
      </rPr>
      <t xml:space="preserve"> Login passwords or DB strings stored in plain text in the system files.</t>
    </r>
  </si>
  <si>
    <t xml:space="preserve">Risk Mitigation Strategy </t>
  </si>
  <si>
    <t>System Configuration / File Storage.</t>
  </si>
  <si>
    <t>Selected / Refined Security Control(s)</t>
  </si>
  <si>
    <t>Poor password security and authentication can enable an attacker to acquire unauthorized access to administrator or employee accounts. Once access to payroll is granted, attackers may be able to view, manipulate, or otherwise use payroll data, which can result in account takeover, exposure of sensitive data, and unauthorized use of the system.</t>
  </si>
  <si>
    <t>Critical</t>
  </si>
  <si>
    <r>
      <rPr>
        <rFont val="Nunito"/>
        <b/>
        <color theme="1"/>
      </rPr>
      <t>Internal (Non-Malicious):</t>
    </r>
    <r>
      <rPr>
        <rFont val="Nunito"/>
        <color theme="1"/>
      </rPr>
      <t xml:space="preserve"> Developer error or poor coding practices.</t>
    </r>
  </si>
  <si>
    <t>Disclosure of salaries violates the Data Privacy Act (RA 10173) and destroys employee trust.</t>
  </si>
  <si>
    <t>Zero tolerance for plaintext storage of sensitive credentials. All passwords must be hashed (e.g., bcrypt), and database connection strings must be encrypted or stored securely using environment variables or secrets management tools.</t>
  </si>
  <si>
    <t>This risk was identified because the system may store sensitive credentials in plain text or without proper encryption, creating a vulnerability that can be exploited through accidental exposure or unauthorized access. This can result in account compromise and full system access by attackers.</t>
  </si>
  <si>
    <t>RISK-005</t>
  </si>
  <si>
    <r>
      <rPr>
        <rFont val="Nunito"/>
        <b/>
        <color theme="1"/>
      </rPr>
      <t>Payday System Crash:</t>
    </r>
    <r>
      <rPr>
        <rFont val="Nunito"/>
        <color theme="1"/>
      </rPr>
      <t xml:space="preserve"> A DDoS attack making it impossible to process payroll on the 15th.</t>
    </r>
  </si>
  <si>
    <t>High</t>
  </si>
  <si>
    <t>Infrastructure / Payroll Report Gen.</t>
  </si>
  <si>
    <t>System downtime caused by server failure, cyberattacks, or technical issues may interrupt payroll processing and prevent employees from accessing payroll services. Delayed salary processing and temporary inaccessibility of payroll records may affect company operations and employee satisfaction.</t>
  </si>
  <si>
    <r>
      <rPr>
        <rFont val="Nunito"/>
        <b/>
        <color theme="1"/>
      </rPr>
      <t>External (Adversarial):</t>
    </r>
    <r>
      <rPr>
        <rFont val="Nunito"/>
        <color theme="1"/>
      </rPr>
      <t xml:space="preserve"> Hackers targeting the cloud-hosted infrastructure.</t>
    </r>
  </si>
  <si>
    <t>Availability</t>
  </si>
  <si>
    <t>Moderate</t>
  </si>
  <si>
    <t>System downtime must not exceed 2 hours per payroll cycle. Any outage beyond this threshold must trigger incident response procedures, escalation to IT operations, and system recovery protocols.</t>
  </si>
  <si>
    <t>This risk was identified because the system relies on cloud-based infrastructure that may lack sufficient traffic filtering and scalability controls, creating a vulnerability to high-volume traffic attacks. This can be exploited by external attackers, resulting in system downtime and disruption of payroll operations.</t>
  </si>
  <si>
    <t>The system uses JDBC/ORM for database integration. Without specific security patches, it is highly susceptible to unsanitized input.</t>
  </si>
  <si>
    <t>A full database dump exposes all PII (TIN, SSS, Bank details) for all employees.</t>
  </si>
  <si>
    <t>Enforce strict role validation at both application and database levels, continuously monitor access logs for anomalies, and immediately revoke unauthorized sessions upon detection.</t>
  </si>
  <si>
    <t>Role-Based Access Control (RBAC)
Least Privilege Enforcement
Access Log Monitoring
Session Management</t>
  </si>
  <si>
    <t>Requires internal access to the application logic or source code, which is usually restricted to developers or admins.</t>
  </si>
  <si>
    <t>RBAC and Least Privilege prevent unauthorized access at the source, while monitoring and session controls enable detection and immediate response. This aligns with protecting confidentiality under the Data Privacy Act of 2012.</t>
  </si>
  <si>
    <t>Tampered logic leads to incorrect salary disbursements, causing financial loss and legal liability.</t>
  </si>
  <si>
    <t>Member 2: Mayumi Tugade (Security Solution Designer)</t>
  </si>
  <si>
    <t>Risk Montoring and Review</t>
  </si>
  <si>
    <t>As the design primarily focused on persistence and behavior, encryption for data-at-rest was likely not implemented yet.</t>
  </si>
  <si>
    <t>Non-compliance with DPA standards; any unauthorized DB access results in immediate data exposure.</t>
  </si>
  <si>
    <t>Mitigation Strategy Implemented</t>
  </si>
  <si>
    <t>Monitoring Metrics
(Based on Strategy)</t>
  </si>
  <si>
    <t>Expected Trend 
(If Mitigation is Effective)</t>
  </si>
  <si>
    <t>Member 3: Ron Carlo Dioso (Analysis and Documentation Lead)</t>
  </si>
  <si>
    <t>Trigger Threshold 
(When Action is Needed)</t>
  </si>
  <si>
    <t>Review Findings &amp; Adjustments</t>
  </si>
  <si>
    <t>Implement secure coding practices to prevent injection, validate and sanitize all user inputs, and monitor database queries for suspicious activity.</t>
  </si>
  <si>
    <t>Input Validation &amp; Sanitization
Parameterized Queries (Prepared Statements)
Web Application Firewall (WAF)
Database Activity Monitoring</t>
  </si>
  <si>
    <t>Preventive controls like parameterized queries eliminate injection vulnerabilities, while WAF and monitoring provide detection and response layers, following a Defense-in-Depth approach.</t>
  </si>
  <si>
    <t>Cloud-hosted systems are frequently targeted by automated DDoS bots or may suffer from third-party provider outages.</t>
  </si>
  <si>
    <t>Major</t>
  </si>
  <si>
    <t>Prevents payroll processing during critical payday windows, causing operational paralysis and employee dissatisfaction.</t>
  </si>
  <si>
    <t>Member 4: Dorin Castillo (Risk and Threat Analyst)</t>
  </si>
  <si>
    <t>Restrict modification access to payroll logic, enforce approval workflows for critical changes, and maintain audit trails for all transactions.</t>
  </si>
  <si>
    <t>Privileged Access Management (PAM)
Change Management Controls
Audit Trails
Segregation of Duties (SoD)</t>
  </si>
  <si>
    <t>Role-Based Access Control (RBAC), Least Privilege Enforcement, Access Log Monitoring, Session Management</t>
  </si>
  <si>
    <t>Limiting and monitoring privileged access reduces insider threats, while audit trails and approval workflows ensure integrity and accountability of payroll processes.</t>
  </si>
  <si>
    <t>Number of unauthorized access attempts, access log anomalies, privilege escalation attempts detected, session timeout violations</t>
  </si>
  <si>
    <t>Decrease in unauthorized access attempts and zero successful privilege bypass cases over time</t>
  </si>
  <si>
    <t>Any detected successful access to unauthorized salary records or repeated role violation attempts within a short timeframe</t>
  </si>
  <si>
    <t>If repeated access anomalies are detected, RBAC rules will be tightened and session validation logic will be reviewed and reinforced</t>
  </si>
  <si>
    <t>Project Title</t>
  </si>
  <si>
    <t>MotorPH Payroll Management System (Advanced OOP Version)</t>
  </si>
  <si>
    <t>Project Description</t>
  </si>
  <si>
    <t>Secure all credentials using encryption and hashing, enforce strong authentication policies, and regularly rotate credentials to minimize exposure risks.</t>
  </si>
  <si>
    <t>Password Hashing (e.g., bcrypt)
Encrypted Credential Storage
Multi-Factor Authentication (MFA)
Credential Rotation</t>
  </si>
  <si>
    <t>A Java-based application built using Object-Oriented Programming (OOP) to handle payroll calculations, employee records, and reporting. It is functionally complete but needs a security audit.</t>
  </si>
  <si>
    <t>Parameterized Queries, Input Validation, Web Application Firewall (WAF), Database Activity Monitoring</t>
  </si>
  <si>
    <t xml:space="preserve">
Encryption and hashing protect credentials at rest, while MFA and rotation reduce the risk of account compromise, addressing both prevention and containment of breaches.</t>
  </si>
  <si>
    <t>Blocked SQL injection attempts, abnormal query patterns, WAF alerts, database error logs</t>
  </si>
  <si>
    <t>Core Functionalities</t>
  </si>
  <si>
    <t>High number of blocked attempts but zero successful database breaches over time</t>
  </si>
  <si>
    <t>Any successful unauthorized query execution or spike in injection attempts targeting search inputs</t>
  </si>
  <si>
    <t>If attack patterns evolve, WAF rules and input validation logic will be updated and hardened</t>
  </si>
  <si>
    <t>• User authentication (HR vs. Employee)
• Automated payroll processing
• Employee record management
• Database integration (JDBC/ORM)</t>
  </si>
  <si>
    <t>Sensitive Data Handled</t>
  </si>
  <si>
    <t>• Full names
• Addresses
• TIN/SSS/PhilHealth/Pag-IBIG numbers
• Bank account details
• Salary history</t>
  </si>
  <si>
    <t>Privileged Access Management (PAM), Change Management Controls, Audit Trails, Segregation of Duties</t>
  </si>
  <si>
    <t>Regulatory Considerations</t>
  </si>
  <si>
    <t>Number of privileged changes, unauthorized modification attempts, audit log inconsistencies, approval workflow violations</t>
  </si>
  <si>
    <t>Reduction in unauthorized modifications and full traceability of all payroll changes</t>
  </si>
  <si>
    <t>Any unapproved change to payroll logic or detected bypass of approval workflows</t>
  </si>
  <si>
    <t>Strengthen approval workflows and restrict privileged roles if unauthorized changes are detected</t>
  </si>
  <si>
    <t>Republic Act No. 10173 (Data Privacy Act of 2012) and Philippine Labor Code requirements for financial record keeping.</t>
  </si>
  <si>
    <t>Implement traffic filtering and scalable infrastructure to absorb attacks, while ensuring redundancy and failover systems maintain payroll availability.</t>
  </si>
  <si>
    <t>DDoS Protection Service
Load Balancing
Auto-Scaling Infrastructure
Failover &amp; Redundancy Systems</t>
  </si>
  <si>
    <t>These controls ensure system availability even under attack conditions by distributing load and maintaining backup resources, aligning with the Availability principle of the CIA Triad.</t>
  </si>
  <si>
    <t>Password Hashing, Encrypted Credential Storage, MFA Enforcement, Credential Rotation</t>
  </si>
  <si>
    <t>Number of failed authentication attempts, credential reuse detection, security audit findings, exposed secret detection alerts</t>
  </si>
  <si>
    <t>Decrease in credential-related incidents and no detection of exposed plaintext credentials</t>
  </si>
  <si>
    <t>Detection of any plaintext credential exposure or confirmed unauthorized account access</t>
  </si>
  <si>
    <t>If exposure is detected, enforce immediate credential rotation and strengthen encryption standards</t>
  </si>
  <si>
    <t>Team Contributions Table</t>
  </si>
  <si>
    <r>
      <rPr>
        <rFont val="Nunito"/>
        <b/>
        <i/>
        <color theme="1"/>
        <sz val="12.0"/>
      </rPr>
      <t xml:space="preserve">Purpose of This Section
</t>
    </r>
    <r>
      <rPr>
        <rFont val="Nunito"/>
        <i/>
        <color theme="1"/>
      </rPr>
      <t>This section documents how each group member contributed to the development of the Risk Register, including risk identification, assessment, mitigation decisions, and monitoring planning.
It is not graded directly but is used to:
- ensure meaningful participation from all group members,
- make contributions visible within the team,
- support accountability across different specializations, and
- provide context to your mentor when reviewing your work.</t>
    </r>
  </si>
  <si>
    <t>DDoS Protection Service, Load Balancing, Auto-Scaling Infrastructure, Failover Systems</t>
  </si>
  <si>
    <t>Traffic volume spikes, server response time, system uptime percentage, failed request rate during peak periods</t>
  </si>
  <si>
    <t>Stable uptime during payroll periods with absorbed or filtered traffic spikes</t>
  </si>
  <si>
    <t>Sustained traffic overload causing degraded performance or service unavailability during payroll processing windows</t>
  </si>
  <si>
    <t>If overload persists, scaling rules and traffic filtering thresholds will be adjusted and infrastructure capacity increased</t>
  </si>
  <si>
    <r>
      <rPr>
        <rFont val="Nunito"/>
        <b/>
        <i/>
        <color theme="1"/>
        <sz val="12.0"/>
      </rPr>
      <t>How to Complete This Section</t>
    </r>
    <r>
      <rPr>
        <rFont val="Nunito"/>
        <i/>
        <color theme="1"/>
      </rPr>
      <t xml:space="preserve">
Each group member should:
List 1–2 factual examples of their contributions to the Risk Register
Focus on what they actually did, not opinions or evaluations
Examples of valid contributions:
- Identified specific risks related to authentication or network design
- Justified likelihood and impact ratings for selected risks
- Proposed mitigation strategies or security controls
- Defined monitoring metrics or thresholds
- Reviewed alignment across Risk Register sections
Do NOT include:
- Opinions about yourself or teammates
- Feedback or complaints
- General statements like “helped the group”</t>
    </r>
  </si>
  <si>
    <r>
      <rPr>
        <rFont val="Nunito"/>
        <i/>
        <color theme="1"/>
      </rPr>
      <t xml:space="preserve">Ratings should follow the scale below:
</t>
    </r>
    <r>
      <rPr>
        <rFont val="Nunito"/>
        <b/>
        <i/>
        <color theme="1"/>
      </rPr>
      <t>0</t>
    </r>
    <r>
      <rPr>
        <rFont val="Nunito"/>
        <i/>
        <color theme="1"/>
      </rPr>
      <t xml:space="preserve"> – Did not meaningfully participate in discussion or decisions
</t>
    </r>
    <r>
      <rPr>
        <rFont val="Nunito"/>
        <b/>
        <i/>
        <color theme="1"/>
      </rPr>
      <t>1</t>
    </r>
    <r>
      <rPr>
        <rFont val="Nunito"/>
        <i/>
        <color theme="1"/>
      </rPr>
      <t xml:space="preserve"> – Participated minimally (listened, responded when prompted)
</t>
    </r>
    <r>
      <rPr>
        <rFont val="Nunito"/>
        <b/>
        <i/>
        <color theme="1"/>
      </rPr>
      <t>2</t>
    </r>
    <r>
      <rPr>
        <rFont val="Nunito"/>
        <i/>
        <color theme="1"/>
      </rPr>
      <t xml:space="preserve"> – Contributed ideas, reasoning, or analysis
</t>
    </r>
    <r>
      <rPr>
        <rFont val="Nunito"/>
        <b/>
        <i/>
        <color theme="1"/>
      </rPr>
      <t>3</t>
    </r>
    <r>
      <rPr>
        <rFont val="Nunito"/>
        <i/>
        <color theme="1"/>
      </rPr>
      <t xml:space="preserve"> – Actively shaped decisions and helped align the team
This rating is for transparency and reflection, not scoring.</t>
    </r>
  </si>
  <si>
    <r>
      <rPr>
        <rFont val="Nunito"/>
        <b/>
        <i/>
        <color theme="1"/>
        <sz val="12.0"/>
      </rPr>
      <t xml:space="preserve">Important Notes
</t>
    </r>
    <r>
      <rPr>
        <rFont val="Nunito"/>
        <i/>
        <color theme="1"/>
      </rPr>
      <t>- Use this table for contribution summaries and ratings only
- Keep descriptions clear, specific, and factual
- Do not include complaints, concerns, or detailed feedback about team members in this section
If you encounter issues with participation, collaboration, or fairness, you may privately message your mentor directly.
This ensures concerns are handled appropriately and confidentially, without affecting the objectivity of this document.</t>
    </r>
  </si>
  <si>
    <t>Member Name</t>
  </si>
  <si>
    <t>Contribution Description (self-written)</t>
  </si>
  <si>
    <t>Self-Rating (0–3)</t>
  </si>
  <si>
    <t>Peer Rating – Member A</t>
  </si>
  <si>
    <t>Peer Rating – Member B</t>
  </si>
  <si>
    <t>Peer Rating – Member C</t>
  </si>
  <si>
    <t>Ron Carlo Dioso</t>
  </si>
  <si>
    <t>Team and Project Details, Threat Source and CIA Impact, Risk Assessment</t>
  </si>
  <si>
    <t>Mayumi Tugade</t>
  </si>
  <si>
    <t>System Component Affected and Potential Impact &amp; risk mitigation</t>
  </si>
  <si>
    <t>Dorin Castillo</t>
  </si>
  <si>
    <t>Risk appetite level, Risk Tolerance Threshold and Risk Monitoring Review</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</si>
</sst>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color theme="1"/>
      <name val="Arial"/>
      <scheme val="minor"/>
    </font>
    <font>
      <color theme="1"/>
      <name val="Nunito"/>
    </font>
    <font>
      <b/>
      <sz val="15.0"/>
      <color rgb="FFFFFFFF"/>
      <name val="Nunito"/>
    </font>
    <font>
      <sz val="13.0"/>
      <color theme="1"/>
      <name val="Nunito"/>
    </font>
    <font>
      <b/>
      <sz val="12.0"/>
      <color rgb="FFFFFFFF"/>
      <name val="Nunito"/>
    </font>
    <font/>
    <font>
      <b/>
      <color theme="1"/>
      <name val="Nunito"/>
    </font>
    <font>
      <i/>
      <sz val="12.0"/>
      <color theme="1"/>
      <name val="Nunito"/>
    </font>
    <font>
      <b/>
      <sz val="11.0"/>
      <color theme="1"/>
      <name val="Nunito"/>
    </font>
    <font>
      <color rgb="FF000000"/>
      <name val="Nunito"/>
    </font>
    <font>
      <b/>
      <color rgb="FF000000"/>
      <name val="Nunito"/>
    </font>
    <font>
      <b/>
      <sz val="12.0"/>
      <color theme="1"/>
      <name val="Nunito"/>
    </font>
    <font>
      <sz val="11.0"/>
      <color theme="1"/>
      <name val="Geist"/>
    </font>
    <font>
      <u/>
      <color theme="1"/>
      <name val="Nunito"/>
    </font>
    <font>
      <i/>
      <color theme="1"/>
      <name val="Nunito"/>
    </font>
    <font>
      <u/>
      <color rgb="FF000000"/>
      <name val="Nunito"/>
    </font>
    <font>
      <u/>
      <color rgb="FF000000"/>
      <name val="Nunito"/>
    </font>
  </fonts>
  <fills count="5">
    <fill>
      <patternFill patternType="none"/>
    </fill>
    <fill>
      <patternFill patternType="lightGray"/>
    </fill>
    <fill>
      <patternFill patternType="solid">
        <fgColor rgb="FF1B2A5E"/>
        <bgColor rgb="FF1B2A5E"/>
      </patternFill>
    </fill>
    <fill>
      <patternFill patternType="solid">
        <fgColor rgb="FFEFEFEF"/>
        <bgColor rgb="FFEFEFEF"/>
      </patternFill>
    </fill>
    <fill>
      <patternFill patternType="solid">
        <fgColor rgb="FFFFFFFF"/>
        <bgColor rgb="FFFFFFFF"/>
      </patternFill>
    </fill>
  </fills>
  <borders count="16">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top style="thin">
        <color rgb="FFD9D9D9"/>
      </top>
      <bottom style="thin">
        <color rgb="FFD9D9D9"/>
      </bottom>
    </border>
    <border>
      <left style="thin">
        <color rgb="FFD9D9D9"/>
      </left>
      <top style="thin">
        <color rgb="FFD9D9D9"/>
      </top>
    </border>
    <border>
      <top style="thin">
        <color rgb="FFD9D9D9"/>
      </top>
    </border>
    <border>
      <right style="thin">
        <color rgb="FFD9D9D9"/>
      </right>
      <top style="thin">
        <color rgb="FFD9D9D9"/>
      </top>
    </border>
    <border>
      <left style="thin">
        <color rgb="FFD9D9D9"/>
      </left>
    </border>
    <border>
      <right style="thin">
        <color rgb="FFD9D9D9"/>
      </right>
    </border>
    <border>
      <left style="thin">
        <color rgb="FFD9D9D9"/>
      </left>
      <bottom style="thin">
        <color rgb="FFD9D9D9"/>
      </bottom>
    </border>
    <border>
      <bottom style="thin">
        <color rgb="FFD9D9D9"/>
      </bottom>
    </border>
    <border>
      <right style="thin">
        <color rgb="FFD9D9D9"/>
      </right>
      <bottom style="thin">
        <color rgb="FFD9D9D9"/>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vertical="center"/>
    </xf>
    <xf borderId="0" fillId="0" fontId="2" numFmtId="0" xfId="0" applyAlignment="1" applyFont="1">
      <alignment horizontal="center" vertical="center"/>
    </xf>
    <xf borderId="0" fillId="2" fontId="3" numFmtId="0" xfId="0" applyAlignment="1" applyFill="1" applyFont="1">
      <alignment readingOrder="0" vertical="center"/>
    </xf>
    <xf borderId="0" fillId="0" fontId="4" numFmtId="0" xfId="0" applyAlignment="1" applyFont="1">
      <alignment horizontal="left" readingOrder="0" shrinkToFit="0" vertical="center" wrapText="1"/>
    </xf>
    <xf borderId="0" fillId="2" fontId="5" numFmtId="0" xfId="0" applyAlignment="1" applyFill="1" applyFont="1">
      <alignment readingOrder="0" vertical="center"/>
    </xf>
    <xf borderId="0" fillId="0" fontId="2" numFmtId="0" xfId="0" applyAlignment="1" applyFont="1">
      <alignment readingOrder="0" vertical="center"/>
    </xf>
    <xf borderId="0" fillId="0" fontId="1" numFmtId="0" xfId="0" applyAlignment="1" applyFont="1">
      <alignment shrinkToFit="0" vertical="center" wrapText="1"/>
    </xf>
    <xf borderId="1" fillId="0" fontId="2" numFmtId="0" xfId="0" applyAlignment="1" applyBorder="1" applyFont="1">
      <alignment vertical="center"/>
    </xf>
    <xf borderId="2" fillId="0" fontId="6" numFmtId="0" xfId="0" applyBorder="1" applyFont="1"/>
    <xf borderId="3" fillId="0" fontId="6" numFmtId="0" xfId="0" applyBorder="1" applyFont="1"/>
    <xf borderId="4" fillId="3" fontId="7" numFmtId="0" xfId="0" applyAlignment="1" applyBorder="1" applyFill="1" applyFont="1">
      <alignment horizontal="center" readingOrder="0" shrinkToFit="0" vertical="center" wrapText="1"/>
    </xf>
    <xf borderId="5" fillId="0" fontId="6" numFmtId="0" xfId="0" applyBorder="1" applyFont="1"/>
    <xf borderId="0" fillId="0" fontId="8" numFmtId="0" xfId="0" applyAlignment="1" applyFont="1">
      <alignment readingOrder="0" shrinkToFit="0" vertical="center" wrapText="1"/>
    </xf>
    <xf borderId="6" fillId="3" fontId="7" numFmtId="0" xfId="0" applyAlignment="1" applyBorder="1" applyFill="1" applyFont="1">
      <alignment horizontal="center" readingOrder="0" shrinkToFit="0" vertical="center" wrapText="1"/>
    </xf>
    <xf borderId="0" fillId="0" fontId="9" numFmtId="0" xfId="0" applyAlignment="1" applyFont="1">
      <alignment readingOrder="0" vertical="center"/>
    </xf>
    <xf borderId="0" fillId="3" fontId="7" numFmtId="0" xfId="0" applyAlignment="1" applyFill="1" applyFont="1">
      <alignment horizontal="center" readingOrder="0" shrinkToFit="0" vertical="center" wrapText="1"/>
    </xf>
    <xf borderId="0" fillId="3" fontId="9" numFmtId="0" xfId="0" applyAlignment="1" applyFill="1" applyFont="1">
      <alignment readingOrder="0" vertical="center"/>
    </xf>
    <xf borderId="0" fillId="0" fontId="2" numFmtId="0" xfId="0" applyAlignment="1" applyFont="1">
      <alignment horizontal="center" readingOrder="0" vertical="center"/>
    </xf>
    <xf borderId="4" fillId="4" fontId="10" numFmtId="0" xfId="0" applyAlignment="1" applyBorder="1" applyFill="1" applyFont="1">
      <alignment horizontal="center" readingOrder="0" shrinkToFit="0" vertical="center" wrapText="1"/>
    </xf>
    <xf borderId="6" fillId="4" fontId="10" numFmtId="0" xfId="0" applyAlignment="1" applyBorder="1" applyFill="1" applyFont="1">
      <alignment horizontal="left" readingOrder="0" shrinkToFit="0" vertical="center" wrapText="1"/>
    </xf>
    <xf borderId="6" fillId="4" fontId="11" numFmtId="0" xfId="0" applyAlignment="1" applyBorder="1" applyFill="1" applyFont="1">
      <alignment horizontal="left" readingOrder="0" shrinkToFit="0" vertical="center" wrapText="1"/>
    </xf>
    <xf borderId="0" fillId="4" fontId="10" numFmtId="0" xfId="0" applyAlignment="1" applyFill="1" applyFont="1">
      <alignment horizontal="left" readingOrder="0" shrinkToFit="0" vertical="center" wrapText="1"/>
    </xf>
    <xf borderId="0" fillId="2" fontId="3" numFmtId="0" xfId="0" applyAlignment="1" applyFill="1" applyFont="1">
      <alignment readingOrder="0" shrinkToFit="0" vertical="center" wrapText="1"/>
    </xf>
    <xf borderId="4" fillId="4" fontId="2" numFmtId="0" xfId="0" applyAlignment="1" applyBorder="1" applyFill="1" applyFont="1">
      <alignment horizontal="center" readingOrder="0" shrinkToFit="0" vertical="center" wrapText="1"/>
    </xf>
    <xf borderId="4" fillId="3" fontId="12" numFmtId="0" xfId="0" applyAlignment="1" applyBorder="1" applyFill="1" applyFont="1">
      <alignment horizontal="center" readingOrder="0" shrinkToFit="0" vertical="center" wrapText="1"/>
    </xf>
    <xf borderId="0" fillId="2" fontId="5" numFmtId="0" xfId="0" applyAlignment="1" applyFill="1" applyFont="1">
      <alignment readingOrder="0" shrinkToFit="0" vertical="center" wrapText="1"/>
    </xf>
    <xf borderId="7" fillId="0" fontId="6" numFmtId="0" xfId="0" applyBorder="1" applyFont="1"/>
    <xf borderId="6" fillId="4" fontId="2" numFmtId="0" xfId="0" applyAlignment="1" applyBorder="1" applyFill="1" applyFont="1">
      <alignment horizontal="left" readingOrder="0" shrinkToFit="0" vertical="center" wrapText="1"/>
    </xf>
    <xf borderId="6" fillId="4" fontId="7" numFmtId="0" xfId="0" applyAlignment="1" applyBorder="1" applyFill="1" applyFont="1">
      <alignment horizontal="left" readingOrder="0" shrinkToFit="0" vertical="center" wrapText="1"/>
    </xf>
    <xf borderId="4" fillId="4" fontId="7" numFmtId="0" xfId="0" applyAlignment="1" applyBorder="1" applyFill="1" applyFont="1">
      <alignment horizontal="left" readingOrder="0" shrinkToFit="0" vertical="center" wrapText="1"/>
    </xf>
    <xf borderId="0" fillId="4" fontId="2" numFmtId="0" xfId="0" applyAlignment="1" applyFill="1" applyFont="1">
      <alignment horizontal="left" readingOrder="0" shrinkToFit="0" vertical="center" wrapText="1"/>
    </xf>
    <xf borderId="8" fillId="4" fontId="7" numFmtId="0" xfId="0" applyAlignment="1" applyBorder="1" applyFill="1" applyFont="1">
      <alignment horizontal="left" readingOrder="0" shrinkToFit="0" vertical="center" wrapText="1"/>
    </xf>
    <xf borderId="9" fillId="0" fontId="6" numFmtId="0" xfId="0" applyBorder="1" applyFont="1"/>
    <xf borderId="10" fillId="0" fontId="6" numFmtId="0" xfId="0" applyBorder="1" applyFont="1"/>
    <xf borderId="6" fillId="4" fontId="10" numFmtId="0" xfId="0" applyAlignment="1" applyBorder="1" applyFill="1" applyFont="1">
      <alignment horizontal="center" readingOrder="0" shrinkToFit="0" vertical="center" wrapText="1"/>
    </xf>
    <xf borderId="0" fillId="0" fontId="13" numFmtId="0" xfId="0" applyAlignment="1" applyFont="1">
      <alignment readingOrder="0" shrinkToFit="0" wrapText="1"/>
    </xf>
    <xf borderId="0" fillId="0" fontId="2" numFmtId="0" xfId="0" applyAlignment="1" applyFont="1">
      <alignment horizontal="center" readingOrder="0" shrinkToFit="0" vertical="center" wrapText="1"/>
    </xf>
    <xf borderId="6" fillId="4" fontId="14" numFmtId="0" xfId="0" applyAlignment="1" applyBorder="1" applyFill="1" applyFont="1">
      <alignment horizontal="left" readingOrder="0" shrinkToFit="0" vertical="center" wrapText="1"/>
    </xf>
    <xf borderId="11" fillId="0" fontId="6" numFmtId="0" xfId="0" applyBorder="1" applyFont="1"/>
    <xf borderId="12" fillId="0" fontId="6" numFmtId="0" xfId="0" applyBorder="1" applyFont="1"/>
    <xf borderId="0" fillId="0" fontId="2" numFmtId="0" xfId="0" applyAlignment="1" applyFont="1">
      <alignment vertical="center"/>
    </xf>
    <xf borderId="6" fillId="4" fontId="2" numFmtId="0" xfId="0" applyAlignment="1" applyBorder="1" applyFill="1" applyFont="1">
      <alignment horizontal="center" readingOrder="0" shrinkToFit="0" vertical="center" wrapText="1"/>
    </xf>
    <xf borderId="13" fillId="0" fontId="6" numFmtId="0" xfId="0" applyBorder="1" applyFont="1"/>
    <xf borderId="14" fillId="0" fontId="6" numFmtId="0" xfId="0" applyBorder="1" applyFont="1"/>
    <xf borderId="15" fillId="0" fontId="6" numFmtId="0" xfId="0" applyBorder="1" applyFont="1"/>
    <xf borderId="0" fillId="0" fontId="15" numFmtId="0" xfId="0" applyAlignment="1" applyFont="1">
      <alignment readingOrder="0" shrinkToFit="0" vertical="top" wrapText="1"/>
    </xf>
    <xf borderId="0" fillId="0" fontId="15" numFmtId="0" xfId="0" applyAlignment="1" applyFont="1">
      <alignment readingOrder="0" vertical="center"/>
    </xf>
    <xf borderId="0" fillId="0" fontId="15" numFmtId="0" xfId="0" applyAlignment="1" applyFont="1">
      <alignment readingOrder="0" shrinkToFit="0" vertical="center" wrapText="1"/>
    </xf>
    <xf borderId="14" fillId="3" fontId="7" numFmtId="0" xfId="0" applyAlignment="1" applyBorder="1" applyFill="1" applyFont="1">
      <alignment horizontal="center" readingOrder="0" shrinkToFit="0" vertical="center" wrapText="1"/>
    </xf>
    <xf borderId="9" fillId="4" fontId="16" numFmtId="0" xfId="0" applyAlignment="1" applyBorder="1" applyFill="1" applyFont="1">
      <alignment horizontal="left" readingOrder="0" shrinkToFit="0" vertical="center" wrapText="1"/>
    </xf>
    <xf borderId="9" fillId="4" fontId="10" numFmtId="0" xfId="0" applyAlignment="1" applyBorder="1" applyFill="1" applyFont="1">
      <alignment horizontal="left" readingOrder="0" shrinkToFit="0" vertical="center" wrapText="1"/>
    </xf>
    <xf borderId="9" fillId="4" fontId="10" numFmtId="0" xfId="0" applyAlignment="1" applyBorder="1" applyFill="1" applyFont="1">
      <alignment horizontal="center" readingOrder="0" shrinkToFit="0" vertical="center" wrapText="1"/>
    </xf>
    <xf borderId="10" fillId="4" fontId="10" numFmtId="0" xfId="0" applyAlignment="1" applyBorder="1" applyFill="1" applyFont="1">
      <alignment horizontal="center" readingOrder="0" shrinkToFit="0" vertical="center" wrapText="1"/>
    </xf>
    <xf borderId="0" fillId="4" fontId="10" numFmtId="0" xfId="0" applyAlignment="1" applyFill="1" applyFont="1">
      <alignment horizontal="center" readingOrder="0" shrinkToFit="0" vertical="center" wrapText="1"/>
    </xf>
    <xf borderId="12" fillId="4" fontId="10" numFmtId="0" xfId="0" applyAlignment="1" applyBorder="1" applyFill="1" applyFont="1">
      <alignment horizontal="center" readingOrder="0" shrinkToFit="0" vertical="center" wrapText="1"/>
    </xf>
    <xf borderId="0" fillId="4" fontId="17" numFmtId="0" xfId="0" applyAlignment="1" applyFill="1" applyFont="1">
      <alignment horizontal="left" readingOrder="0" shrinkToFit="0" vertical="center" wrapText="1"/>
    </xf>
    <xf borderId="14" fillId="4" fontId="10" numFmtId="0" xfId="0" applyAlignment="1" applyBorder="1" applyFill="1" applyFont="1">
      <alignment horizontal="left" readingOrder="0" shrinkToFit="0" vertical="center" wrapText="1"/>
    </xf>
    <xf borderId="14" fillId="4" fontId="10" numFmtId="0" xfId="0" applyAlignment="1" applyBorder="1" applyFill="1" applyFont="1">
      <alignment horizontal="center" readingOrder="0" shrinkToFit="0" vertical="center" wrapText="1"/>
    </xf>
    <xf borderId="15" fillId="4" fontId="10" numFmtId="0" xfId="0" applyAlignment="1" applyBorder="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00050" cy="2000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628650" cy="219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485775" cy="171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571500" cy="200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571500" cy="200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571500" cy="200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895350" cy="3143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lr.aframos@mmdc.mcl.edu.ph" TargetMode="External"/><Relationship Id="rId2" Type="http://schemas.openxmlformats.org/officeDocument/2006/relationships/hyperlink" Target="mailto:lr.mtugade@mmdc.mcl.edu.ph" TargetMode="External"/><Relationship Id="rId3" Type="http://schemas.openxmlformats.org/officeDocument/2006/relationships/hyperlink" Target="mailto:lr.rcdioso@mmdc.mcl.edu.ph" TargetMode="External"/><Relationship Id="rId4" Type="http://schemas.openxmlformats.org/officeDocument/2006/relationships/hyperlink" Target="mailto:lr.dcastillo@mmdc.mcl.edu.ph"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mailto:lr.rcdioso@mmdc.mcl.edu.ph" TargetMode="External"/><Relationship Id="rId2" Type="http://schemas.openxmlformats.org/officeDocument/2006/relationships/hyperlink" Target="mailto:lr.mtugade@mmdc.mcl.edu.ph" TargetMode="External"/><Relationship Id="rId3" Type="http://schemas.openxmlformats.org/officeDocument/2006/relationships/hyperlink" Target="mailto:lr.dcastillo@mmdc.mcl.edu.ph" TargetMode="External"/><Relationship Id="rId4"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row>
    <row r="12" ht="23.25" customHeight="1">
      <c r="A12" s="5" t="s">
        <v>0</v>
      </c>
    </row>
    <row r="13" ht="23.25" customHeight="1"/>
    <row r="14" ht="23.25" customHeight="1"/>
    <row r="15" ht="23.25" customHeight="1"/>
    <row r="16" ht="23.25" customHeight="1"/>
    <row r="17" ht="23.25" customHeight="1"/>
    <row r="18" ht="23.25" customHeight="1"/>
    <row r="19" ht="23.25" customHeight="1"/>
    <row r="20" ht="23.25" customHeight="1"/>
    <row r="21" ht="23.25" customHeight="1"/>
    <row r="22" ht="23.25" customHeight="1"/>
    <row r="23" ht="23.25" customHeight="1"/>
  </sheetData>
  <mergeCells count="2">
    <mergeCell ref="A1:M11"/>
    <mergeCell ref="A12:M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75"/>
    <col customWidth="1" min="2" max="2" width="8.25"/>
    <col customWidth="1" min="3" max="3" width="7.13"/>
    <col customWidth="1" min="4" max="4" width="11.13"/>
    <col customWidth="1" min="5" max="5" width="87.63"/>
  </cols>
  <sheetData>
    <row r="1" ht="158.25" customHeight="1">
      <c r="A1" s="2"/>
      <c r="B1" s="3"/>
    </row>
    <row r="2" ht="28.5" customHeight="1">
      <c r="A2" s="4"/>
      <c r="B2" s="4" t="s">
        <v>1</v>
      </c>
    </row>
    <row r="3" ht="28.5" customHeight="1">
      <c r="A3" s="6" t="str">
        <v>#ERROR!</v>
      </c>
      <c r="B3" s="6" t="s">
        <v>4</v>
      </c>
    </row>
    <row r="4" ht="18.0" customHeight="1">
      <c r="A4" s="7"/>
      <c r="B4" s="9"/>
      <c r="C4" s="10"/>
      <c r="D4" s="10"/>
      <c r="E4" s="11"/>
    </row>
    <row r="5" ht="39.0" customHeight="1">
      <c r="A5" s="7"/>
      <c r="B5" s="14" t="s">
        <v>6</v>
      </c>
    </row>
    <row r="6" ht="18.0" customHeight="1">
      <c r="A6" s="7"/>
      <c r="B6" s="16"/>
    </row>
    <row r="7" ht="18.0" customHeight="1">
      <c r="A7" s="7"/>
      <c r="B7" s="18" t="s">
        <v>16</v>
      </c>
    </row>
    <row r="8" ht="21.75" customHeight="1">
      <c r="A8" s="7"/>
      <c r="B8" s="19">
        <v>1.0</v>
      </c>
      <c r="C8" s="7" t="s">
        <v>21</v>
      </c>
    </row>
    <row r="9" ht="21.75" customHeight="1">
      <c r="A9" s="7"/>
      <c r="B9" s="19">
        <v>2.0</v>
      </c>
      <c r="C9" s="7" t="s">
        <v>22</v>
      </c>
    </row>
    <row r="10" ht="21.75" customHeight="1">
      <c r="A10" s="7"/>
      <c r="B10" s="19">
        <v>3.0</v>
      </c>
      <c r="C10" s="7" t="s">
        <v>24</v>
      </c>
    </row>
    <row r="11" ht="21.75" customHeight="1">
      <c r="A11" s="7"/>
      <c r="B11" s="19">
        <v>4.0</v>
      </c>
      <c r="C11" s="7" t="s">
        <v>26</v>
      </c>
    </row>
    <row r="12" ht="21.75" customHeight="1">
      <c r="A12" s="7"/>
      <c r="B12" s="19">
        <v>5.0</v>
      </c>
      <c r="C12" s="7" t="s">
        <v>29</v>
      </c>
    </row>
    <row r="13" ht="21.75" customHeight="1">
      <c r="A13" s="7"/>
      <c r="B13" s="19"/>
    </row>
    <row r="14" ht="32.25" customHeight="1">
      <c r="A14" s="8"/>
      <c r="B14" s="26" t="s">
        <v>34</v>
      </c>
      <c r="C14" s="28"/>
      <c r="D14" s="28"/>
      <c r="E14" s="13"/>
    </row>
    <row r="15" ht="26.25" customHeight="1">
      <c r="A15" s="19"/>
      <c r="B15" s="31" t="s">
        <v>41</v>
      </c>
      <c r="C15" s="28"/>
      <c r="D15" s="13"/>
      <c r="E15" s="21" t="s">
        <v>46</v>
      </c>
    </row>
    <row r="16" ht="26.25" customHeight="1">
      <c r="B16" s="33" t="s">
        <v>47</v>
      </c>
      <c r="C16" s="34"/>
      <c r="D16" s="35"/>
      <c r="E16" s="39" t="s">
        <v>57</v>
      </c>
    </row>
    <row r="17" ht="26.25" customHeight="1">
      <c r="B17" s="40"/>
      <c r="D17" s="41"/>
      <c r="E17" s="39" t="s">
        <v>85</v>
      </c>
    </row>
    <row r="18" ht="26.25" customHeight="1">
      <c r="B18" s="40"/>
      <c r="D18" s="41"/>
      <c r="E18" s="39" t="s">
        <v>92</v>
      </c>
    </row>
    <row r="19" ht="26.25" customHeight="1">
      <c r="A19" s="19"/>
      <c r="B19" s="44"/>
      <c r="C19" s="45"/>
      <c r="D19" s="46"/>
      <c r="E19" s="39" t="s">
        <v>101</v>
      </c>
    </row>
    <row r="20" ht="26.25" customHeight="1">
      <c r="B20" s="31" t="s">
        <v>110</v>
      </c>
      <c r="C20" s="28"/>
      <c r="D20" s="13"/>
      <c r="E20" s="29" t="s">
        <v>111</v>
      </c>
    </row>
    <row r="21" ht="26.25" customHeight="1">
      <c r="B21" s="31" t="s">
        <v>112</v>
      </c>
      <c r="C21" s="28"/>
      <c r="D21" s="13"/>
      <c r="E21" s="29" t="s">
        <v>115</v>
      </c>
    </row>
    <row r="22">
      <c r="A22" s="19"/>
      <c r="B22" s="31" t="s">
        <v>119</v>
      </c>
      <c r="C22" s="28"/>
      <c r="D22" s="13"/>
      <c r="E22" s="32" t="s">
        <v>123</v>
      </c>
    </row>
    <row r="23">
      <c r="A23" s="19"/>
      <c r="B23" s="31" t="s">
        <v>124</v>
      </c>
      <c r="C23" s="28"/>
      <c r="D23" s="13"/>
      <c r="E23" s="32" t="s">
        <v>125</v>
      </c>
    </row>
    <row r="24" ht="26.25" customHeight="1">
      <c r="A24" s="19"/>
      <c r="B24" s="31" t="s">
        <v>127</v>
      </c>
      <c r="C24" s="28"/>
      <c r="D24" s="13"/>
      <c r="E24" s="32" t="s">
        <v>132</v>
      </c>
    </row>
  </sheetData>
  <mergeCells count="23">
    <mergeCell ref="B1:E1"/>
    <mergeCell ref="B2:E2"/>
    <mergeCell ref="B3:E3"/>
    <mergeCell ref="B4:E4"/>
    <mergeCell ref="B5:E5"/>
    <mergeCell ref="B6:E6"/>
    <mergeCell ref="B7:E7"/>
    <mergeCell ref="B14:E14"/>
    <mergeCell ref="B15:D15"/>
    <mergeCell ref="A15:A18"/>
    <mergeCell ref="A19:A21"/>
    <mergeCell ref="B20:D20"/>
    <mergeCell ref="B21:D21"/>
    <mergeCell ref="B22:D22"/>
    <mergeCell ref="B23:D23"/>
    <mergeCell ref="B24:D24"/>
    <mergeCell ref="C8:E8"/>
    <mergeCell ref="C9:E9"/>
    <mergeCell ref="C10:E10"/>
    <mergeCell ref="C11:E11"/>
    <mergeCell ref="C12:E12"/>
    <mergeCell ref="B13:E13"/>
    <mergeCell ref="B16:D19"/>
  </mergeCells>
  <hyperlinks>
    <hyperlink r:id="rId1" ref="E16"/>
    <hyperlink r:id="rId2" ref="E17"/>
    <hyperlink r:id="rId3" ref="E18"/>
    <hyperlink r:id="rId4" ref="E19"/>
  </hyperlinks>
  <printOptions gridLines="1" horizontalCentered="1"/>
  <pageMargins bottom="0.75" footer="0.0" header="0.0" left="0.7" right="0.7" top="0.75"/>
  <pageSetup fitToHeight="0" cellComments="atEnd" orientation="landscape" pageOrder="overThenDown"/>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75"/>
    <col customWidth="1" min="2" max="3" width="6.38"/>
    <col customWidth="1" min="4" max="4" width="29.38"/>
    <col customWidth="1" min="5" max="5" width="26.75"/>
    <col customWidth="1" min="6" max="6" width="42.75"/>
    <col customWidth="1" min="7" max="8" width="26.75"/>
    <col customWidth="1" min="9" max="10" width="25.25"/>
    <col customWidth="1" min="11" max="11" width="26.75"/>
  </cols>
  <sheetData>
    <row r="1" ht="158.25" customHeight="1">
      <c r="A1" s="2"/>
      <c r="B1" s="3"/>
    </row>
    <row r="2" ht="28.5" customHeight="1">
      <c r="A2" s="4"/>
      <c r="B2" s="4" t="s">
        <v>1</v>
      </c>
      <c r="I2" s="4"/>
      <c r="J2" s="4"/>
      <c r="K2" s="4"/>
    </row>
    <row r="3" ht="28.5" customHeight="1">
      <c r="A3" s="6"/>
      <c r="B3" s="6" t="s">
        <v>3</v>
      </c>
      <c r="I3" s="6"/>
      <c r="J3" s="6"/>
      <c r="K3" s="6"/>
    </row>
    <row r="4" ht="45.75" customHeight="1">
      <c r="A4" s="8"/>
      <c r="B4" s="12" t="s">
        <v>5</v>
      </c>
      <c r="C4" s="13"/>
      <c r="D4" s="15" t="s">
        <v>7</v>
      </c>
      <c r="E4" s="15" t="s">
        <v>8</v>
      </c>
      <c r="F4" s="15" t="s">
        <v>10</v>
      </c>
      <c r="G4" s="15" t="s">
        <v>11</v>
      </c>
      <c r="H4" s="15" t="s">
        <v>13</v>
      </c>
      <c r="I4" s="17" t="s">
        <v>15</v>
      </c>
      <c r="J4" s="17" t="s">
        <v>17</v>
      </c>
      <c r="K4" s="17" t="s">
        <v>18</v>
      </c>
    </row>
    <row r="5">
      <c r="A5" s="19"/>
      <c r="B5" s="20" t="s">
        <v>20</v>
      </c>
      <c r="C5" s="13"/>
      <c r="D5" s="21" t="s">
        <v>23</v>
      </c>
      <c r="E5" s="21" t="s">
        <v>25</v>
      </c>
      <c r="F5" s="21" t="s">
        <v>27</v>
      </c>
      <c r="G5" s="21" t="s">
        <v>28</v>
      </c>
      <c r="H5" s="22" t="s">
        <v>30</v>
      </c>
      <c r="I5" s="23" t="s">
        <v>31</v>
      </c>
      <c r="J5" s="23" t="s">
        <v>32</v>
      </c>
      <c r="K5" s="23" t="s">
        <v>33</v>
      </c>
    </row>
    <row r="6">
      <c r="B6" s="25" t="s">
        <v>35</v>
      </c>
      <c r="C6" s="13"/>
      <c r="D6" s="29" t="s">
        <v>37</v>
      </c>
      <c r="E6" s="29" t="s">
        <v>38</v>
      </c>
      <c r="F6" s="29" t="s">
        <v>39</v>
      </c>
      <c r="G6" s="29" t="s">
        <v>40</v>
      </c>
      <c r="H6" s="30" t="s">
        <v>42</v>
      </c>
      <c r="I6" s="32" t="s">
        <v>31</v>
      </c>
      <c r="J6" s="32" t="s">
        <v>43</v>
      </c>
      <c r="K6" s="32" t="s">
        <v>44</v>
      </c>
    </row>
    <row r="7">
      <c r="B7" s="25" t="s">
        <v>45</v>
      </c>
      <c r="C7" s="13"/>
      <c r="D7" s="29" t="s">
        <v>48</v>
      </c>
      <c r="E7" s="29" t="s">
        <v>49</v>
      </c>
      <c r="F7" s="29" t="s">
        <v>50</v>
      </c>
      <c r="G7" s="29" t="s">
        <v>51</v>
      </c>
      <c r="H7" s="30" t="s">
        <v>52</v>
      </c>
      <c r="I7" s="32" t="s">
        <v>31</v>
      </c>
      <c r="J7" s="32" t="s">
        <v>43</v>
      </c>
      <c r="K7" s="32" t="s">
        <v>54</v>
      </c>
    </row>
    <row r="8">
      <c r="B8" s="25" t="s">
        <v>55</v>
      </c>
      <c r="C8" s="13"/>
      <c r="D8" s="29" t="s">
        <v>58</v>
      </c>
      <c r="E8" s="29" t="s">
        <v>60</v>
      </c>
      <c r="F8" s="37" t="s">
        <v>62</v>
      </c>
      <c r="G8" s="29" t="s">
        <v>64</v>
      </c>
      <c r="H8" s="30" t="s">
        <v>30</v>
      </c>
      <c r="I8" s="32" t="s">
        <v>31</v>
      </c>
      <c r="J8" s="32" t="s">
        <v>66</v>
      </c>
      <c r="K8" s="32" t="s">
        <v>67</v>
      </c>
    </row>
    <row r="9">
      <c r="A9" s="19"/>
      <c r="B9" s="25" t="s">
        <v>68</v>
      </c>
      <c r="C9" s="13"/>
      <c r="D9" s="29" t="s">
        <v>69</v>
      </c>
      <c r="E9" s="29" t="s">
        <v>71</v>
      </c>
      <c r="F9" s="29" t="s">
        <v>72</v>
      </c>
      <c r="G9" s="29" t="s">
        <v>73</v>
      </c>
      <c r="H9" s="30" t="s">
        <v>74</v>
      </c>
      <c r="I9" s="32" t="s">
        <v>75</v>
      </c>
      <c r="J9" s="32" t="s">
        <v>76</v>
      </c>
      <c r="K9" s="32" t="s">
        <v>77</v>
      </c>
    </row>
  </sheetData>
  <mergeCells count="10">
    <mergeCell ref="B7:C7"/>
    <mergeCell ref="B8:C8"/>
    <mergeCell ref="B9:C9"/>
    <mergeCell ref="B1:K1"/>
    <mergeCell ref="B2:H2"/>
    <mergeCell ref="B3:H3"/>
    <mergeCell ref="B4:C4"/>
    <mergeCell ref="A5:A8"/>
    <mergeCell ref="B5:C5"/>
    <mergeCell ref="B6:C6"/>
  </mergeCell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75"/>
    <col customWidth="1" min="2" max="3" width="7.5"/>
    <col customWidth="1" min="4" max="4" width="40.63"/>
    <col customWidth="1" min="5" max="5" width="13.75"/>
    <col customWidth="1" min="6" max="6" width="40.38"/>
    <col customWidth="1" min="7" max="7" width="13.75"/>
    <col customWidth="1" min="8" max="8" width="40.38"/>
    <col customWidth="1" min="9" max="9" width="17.38"/>
  </cols>
  <sheetData>
    <row r="1" ht="158.25" customHeight="1">
      <c r="A1" s="2"/>
      <c r="B1" s="3"/>
    </row>
    <row r="2" ht="28.5" customHeight="1">
      <c r="A2" s="4"/>
      <c r="B2" s="4" t="s">
        <v>1</v>
      </c>
      <c r="I2" s="4"/>
    </row>
    <row r="3" ht="28.5" customHeight="1">
      <c r="A3" s="6"/>
      <c r="B3" s="6" t="s">
        <v>2</v>
      </c>
      <c r="I3" s="6"/>
    </row>
    <row r="4" ht="18.0" customHeight="1">
      <c r="A4" s="7"/>
      <c r="B4" s="9"/>
      <c r="C4" s="10"/>
      <c r="D4" s="10"/>
      <c r="E4" s="10"/>
      <c r="F4" s="10"/>
      <c r="G4" s="10"/>
      <c r="H4" s="10"/>
      <c r="I4" s="11"/>
    </row>
    <row r="5" ht="45.75" customHeight="1">
      <c r="A5" s="8"/>
      <c r="B5" s="12" t="s">
        <v>5</v>
      </c>
      <c r="C5" s="13"/>
      <c r="D5" s="15" t="s">
        <v>7</v>
      </c>
      <c r="E5" s="15" t="s">
        <v>9</v>
      </c>
      <c r="F5" s="15" t="s">
        <v>12</v>
      </c>
      <c r="G5" s="15" t="s">
        <v>14</v>
      </c>
      <c r="H5" s="15" t="s">
        <v>12</v>
      </c>
      <c r="I5" s="17" t="s">
        <v>19</v>
      </c>
    </row>
    <row r="6">
      <c r="A6" s="19"/>
      <c r="B6" s="20" t="str">
        <f>('Risk Identification'!B5:C5)</f>
        <v>RISK-001</v>
      </c>
      <c r="C6" s="13"/>
      <c r="D6" s="21" t="str">
        <f>('Risk Identification'!D5)</f>
        <v>Unauthorized Salary Peeking: An employee bypassing role checks to see another's salary.</v>
      </c>
      <c r="E6" s="36" t="s">
        <v>53</v>
      </c>
      <c r="F6" s="21" t="s">
        <v>56</v>
      </c>
      <c r="G6" s="36" t="s">
        <v>63</v>
      </c>
      <c r="H6" s="21" t="s">
        <v>65</v>
      </c>
      <c r="I6" s="23" t="s">
        <v>70</v>
      </c>
    </row>
    <row r="7">
      <c r="B7" s="20" t="str">
        <f>('Risk Identification'!B6:C6)</f>
        <v>RISK-002</v>
      </c>
      <c r="C7" s="13"/>
      <c r="D7" s="21" t="str">
        <f>('Risk Identification'!D6)</f>
        <v>SQL Injection via Search: Hackers using the employee search bar to dump the whole database.</v>
      </c>
      <c r="E7" s="36" t="s">
        <v>70</v>
      </c>
      <c r="F7" s="21" t="s">
        <v>78</v>
      </c>
      <c r="G7" s="36" t="s">
        <v>63</v>
      </c>
      <c r="H7" s="21" t="s">
        <v>79</v>
      </c>
      <c r="I7" s="23" t="s">
        <v>63</v>
      </c>
    </row>
    <row r="8">
      <c r="B8" s="20" t="str">
        <f>('Risk Identification'!B7:C7)</f>
        <v>RISK-003</v>
      </c>
      <c r="C8" s="13"/>
      <c r="D8" s="21" t="str">
        <f>('Risk Identification'!D7)</f>
        <v>Payroll Logic Tampering: Someone modifying the code or database to "boost" their bonus.</v>
      </c>
      <c r="E8" s="36" t="s">
        <v>31</v>
      </c>
      <c r="F8" s="21" t="s">
        <v>82</v>
      </c>
      <c r="G8" s="36" t="s">
        <v>63</v>
      </c>
      <c r="H8" s="21" t="s">
        <v>84</v>
      </c>
      <c r="I8" s="23" t="s">
        <v>70</v>
      </c>
    </row>
    <row r="9">
      <c r="B9" s="20" t="str">
        <f>('Risk Identification'!B8:C8)</f>
        <v>RISK-004</v>
      </c>
      <c r="C9" s="13"/>
      <c r="D9" s="21" t="str">
        <f>('Risk Identification'!D8)</f>
        <v>Credential Exposure: Login passwords or DB strings stored in plain text in the system files.</v>
      </c>
      <c r="E9" s="36" t="s">
        <v>70</v>
      </c>
      <c r="F9" s="21" t="s">
        <v>87</v>
      </c>
      <c r="G9" s="36" t="s">
        <v>63</v>
      </c>
      <c r="H9" s="21" t="s">
        <v>88</v>
      </c>
      <c r="I9" s="23" t="s">
        <v>63</v>
      </c>
    </row>
    <row r="10">
      <c r="A10" s="19"/>
      <c r="B10" s="20" t="str">
        <f>('Risk Identification'!B9:C9)</f>
        <v>RISK-005</v>
      </c>
      <c r="C10" s="13"/>
      <c r="D10" s="21" t="str">
        <f>('Risk Identification'!D9)</f>
        <v>Payday System Crash: A DDoS attack making it impossible to process payroll on the 15th.</v>
      </c>
      <c r="E10" s="43" t="s">
        <v>53</v>
      </c>
      <c r="F10" s="29" t="s">
        <v>98</v>
      </c>
      <c r="G10" s="43" t="s">
        <v>99</v>
      </c>
      <c r="H10" s="29" t="s">
        <v>100</v>
      </c>
      <c r="I10" s="32" t="s">
        <v>70</v>
      </c>
    </row>
  </sheetData>
  <mergeCells count="11">
    <mergeCell ref="B7:C7"/>
    <mergeCell ref="B8:C8"/>
    <mergeCell ref="B10:C10"/>
    <mergeCell ref="B1:I1"/>
    <mergeCell ref="B2:H2"/>
    <mergeCell ref="B3:H3"/>
    <mergeCell ref="B4:I4"/>
    <mergeCell ref="B5:C5"/>
    <mergeCell ref="A6:A9"/>
    <mergeCell ref="B6:C6"/>
    <mergeCell ref="B9:C9"/>
  </mergeCells>
  <dataValidations>
    <dataValidation type="list" allowBlank="1" showErrorMessage="1" sqref="E6:E10">
      <formula1>"Low,Medium,High"</formula1>
    </dataValidation>
    <dataValidation type="list" allowBlank="1" showErrorMessage="1" sqref="I6:I10">
      <formula1>"Low,Medium,High,Critical"</formula1>
    </dataValidation>
    <dataValidation type="list" allowBlank="1" showErrorMessage="1" sqref="G6:G10">
      <formula1>"Minor,Major,Critical"</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75"/>
    <col customWidth="1" min="2" max="3" width="7.5"/>
    <col customWidth="1" min="4" max="4" width="40.63"/>
    <col customWidth="1" min="5" max="7" width="40.38"/>
  </cols>
  <sheetData>
    <row r="1" ht="158.25" customHeight="1">
      <c r="A1" s="2"/>
      <c r="B1" s="3"/>
    </row>
    <row r="2" ht="28.5" customHeight="1">
      <c r="A2" s="4"/>
      <c r="B2" s="4" t="s">
        <v>1</v>
      </c>
      <c r="G2" s="24"/>
    </row>
    <row r="3" ht="28.5" customHeight="1">
      <c r="A3" s="6"/>
      <c r="B3" s="6" t="s">
        <v>36</v>
      </c>
      <c r="G3" s="27"/>
    </row>
    <row r="4" ht="18.0" customHeight="1">
      <c r="A4" s="7"/>
      <c r="B4" s="9"/>
      <c r="C4" s="10"/>
      <c r="D4" s="10"/>
      <c r="E4" s="10"/>
      <c r="F4" s="10"/>
      <c r="G4" s="11"/>
    </row>
    <row r="5" ht="45.75" customHeight="1">
      <c r="A5" s="8"/>
      <c r="B5" s="12" t="s">
        <v>5</v>
      </c>
      <c r="C5" s="13"/>
      <c r="D5" s="15" t="s">
        <v>7</v>
      </c>
      <c r="E5" s="15" t="s">
        <v>59</v>
      </c>
      <c r="F5" s="15" t="s">
        <v>61</v>
      </c>
      <c r="G5" s="17" t="s">
        <v>12</v>
      </c>
    </row>
    <row r="6" ht="65.25" customHeight="1">
      <c r="A6" s="38"/>
      <c r="B6" s="20" t="str">
        <f>('Risk Identification'!B5:C5)</f>
        <v>RISK-001</v>
      </c>
      <c r="C6" s="13"/>
      <c r="D6" s="21" t="str">
        <f>('Risk Identification'!D5)</f>
        <v>Unauthorized Salary Peeking: An employee bypassing role checks to see another's salary.</v>
      </c>
      <c r="E6" s="21" t="s">
        <v>80</v>
      </c>
      <c r="F6" s="21" t="s">
        <v>81</v>
      </c>
      <c r="G6" s="23" t="s">
        <v>83</v>
      </c>
    </row>
    <row r="7" ht="57.0" customHeight="1">
      <c r="B7" s="20" t="str">
        <f>('Risk Identification'!B6:C6)</f>
        <v>RISK-002</v>
      </c>
      <c r="C7" s="13"/>
      <c r="D7" s="21" t="str">
        <f>('Risk Identification'!D6)</f>
        <v>SQL Injection via Search: Hackers using the employee search bar to dump the whole database.</v>
      </c>
      <c r="E7" s="21" t="s">
        <v>95</v>
      </c>
      <c r="F7" s="21" t="s">
        <v>96</v>
      </c>
      <c r="G7" s="23" t="s">
        <v>97</v>
      </c>
    </row>
    <row r="8" ht="67.5" customHeight="1">
      <c r="B8" s="20" t="str">
        <f>('Risk Identification'!B7:C7)</f>
        <v>RISK-003</v>
      </c>
      <c r="C8" s="13"/>
      <c r="D8" s="21" t="str">
        <f>('Risk Identification'!D7)</f>
        <v>Payroll Logic Tampering: Someone modifying the code or database to "boost" their bonus.</v>
      </c>
      <c r="E8" s="21" t="s">
        <v>102</v>
      </c>
      <c r="F8" s="21" t="s">
        <v>103</v>
      </c>
      <c r="G8" s="23" t="s">
        <v>105</v>
      </c>
    </row>
    <row r="9" ht="76.5" customHeight="1">
      <c r="B9" s="20" t="str">
        <f>('Risk Identification'!B8:C8)</f>
        <v>RISK-004</v>
      </c>
      <c r="C9" s="13"/>
      <c r="D9" s="21" t="str">
        <f>('Risk Identification'!D8)</f>
        <v>Credential Exposure: Login passwords or DB strings stored in plain text in the system files.</v>
      </c>
      <c r="E9" s="21" t="s">
        <v>113</v>
      </c>
      <c r="F9" s="21" t="s">
        <v>114</v>
      </c>
      <c r="G9" s="23" t="s">
        <v>117</v>
      </c>
    </row>
    <row r="10" ht="58.5" customHeight="1">
      <c r="A10" s="19"/>
      <c r="B10" s="20" t="str">
        <f>('Risk Identification'!B9:C9)</f>
        <v>RISK-005</v>
      </c>
      <c r="C10" s="13"/>
      <c r="D10" s="21" t="str">
        <f>('Risk Identification'!D9)</f>
        <v>Payday System Crash: A DDoS attack making it impossible to process payroll on the 15th.</v>
      </c>
      <c r="E10" s="29" t="s">
        <v>133</v>
      </c>
      <c r="F10" s="29" t="s">
        <v>134</v>
      </c>
      <c r="G10" s="32" t="s">
        <v>135</v>
      </c>
    </row>
  </sheetData>
  <mergeCells count="11">
    <mergeCell ref="B7:C7"/>
    <mergeCell ref="B8:C8"/>
    <mergeCell ref="B10:C10"/>
    <mergeCell ref="B1:G1"/>
    <mergeCell ref="B2:F2"/>
    <mergeCell ref="B3:F3"/>
    <mergeCell ref="B4:G4"/>
    <mergeCell ref="B5:C5"/>
    <mergeCell ref="A6:A9"/>
    <mergeCell ref="B6:C6"/>
    <mergeCell ref="B9:C9"/>
  </mergeCells>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75"/>
    <col customWidth="1" min="2" max="3" width="7.5"/>
    <col customWidth="1" min="4" max="4" width="33.63"/>
    <col customWidth="1" min="5" max="9" width="31.75"/>
  </cols>
  <sheetData>
    <row r="1" ht="158.25" customHeight="1">
      <c r="A1" s="2"/>
      <c r="B1" s="3"/>
    </row>
    <row r="2" ht="28.5" customHeight="1">
      <c r="A2" s="4"/>
      <c r="B2" s="4" t="s">
        <v>1</v>
      </c>
      <c r="G2" s="4"/>
      <c r="H2" s="4"/>
      <c r="I2" s="4"/>
    </row>
    <row r="3" ht="28.5" customHeight="1">
      <c r="A3" s="6"/>
      <c r="B3" s="6" t="s">
        <v>86</v>
      </c>
      <c r="G3" s="6"/>
      <c r="H3" s="6"/>
      <c r="I3" s="6"/>
    </row>
    <row r="4" ht="18.0" customHeight="1">
      <c r="A4" s="7"/>
      <c r="B4" s="9"/>
      <c r="C4" s="10"/>
      <c r="D4" s="10"/>
      <c r="E4" s="10"/>
      <c r="F4" s="10"/>
      <c r="G4" s="11"/>
      <c r="H4" s="42"/>
      <c r="I4" s="42"/>
    </row>
    <row r="5" ht="45.75" customHeight="1">
      <c r="A5" s="8"/>
      <c r="B5" s="12" t="s">
        <v>5</v>
      </c>
      <c r="C5" s="13"/>
      <c r="D5" s="15" t="s">
        <v>7</v>
      </c>
      <c r="E5" s="15" t="s">
        <v>89</v>
      </c>
      <c r="F5" s="15" t="s">
        <v>90</v>
      </c>
      <c r="G5" s="17" t="s">
        <v>91</v>
      </c>
      <c r="H5" s="17" t="s">
        <v>93</v>
      </c>
      <c r="I5" s="17" t="s">
        <v>94</v>
      </c>
    </row>
    <row r="6" ht="51.75" customHeight="1">
      <c r="A6" s="19"/>
      <c r="B6" s="20" t="str">
        <f>('Risk Identification'!B5:C5)</f>
        <v>RISK-001</v>
      </c>
      <c r="C6" s="13"/>
      <c r="D6" s="21" t="str">
        <f>('Risk Identification'!D5)</f>
        <v>Unauthorized Salary Peeking: An employee bypassing role checks to see another's salary.</v>
      </c>
      <c r="E6" s="21" t="s">
        <v>104</v>
      </c>
      <c r="F6" s="21" t="s">
        <v>106</v>
      </c>
      <c r="G6" s="23" t="s">
        <v>107</v>
      </c>
      <c r="H6" s="23" t="s">
        <v>108</v>
      </c>
      <c r="I6" s="23" t="s">
        <v>109</v>
      </c>
    </row>
    <row r="7" ht="66.0" customHeight="1">
      <c r="B7" s="20" t="str">
        <f>('Risk Identification'!B6:C6)</f>
        <v>RISK-002</v>
      </c>
      <c r="C7" s="13"/>
      <c r="D7" s="21" t="str">
        <f>('Risk Identification'!D6)</f>
        <v>SQL Injection via Search: Hackers using the employee search bar to dump the whole database.</v>
      </c>
      <c r="E7" s="21" t="s">
        <v>116</v>
      </c>
      <c r="F7" s="21" t="s">
        <v>118</v>
      </c>
      <c r="G7" s="23" t="s">
        <v>120</v>
      </c>
      <c r="H7" s="23" t="s">
        <v>121</v>
      </c>
      <c r="I7" s="23" t="s">
        <v>122</v>
      </c>
    </row>
    <row r="8" ht="65.25" customHeight="1">
      <c r="B8" s="20" t="str">
        <f>('Risk Identification'!B7:C7)</f>
        <v>RISK-003</v>
      </c>
      <c r="C8" s="13"/>
      <c r="D8" s="21" t="str">
        <f>('Risk Identification'!D7)</f>
        <v>Payroll Logic Tampering: Someone modifying the code or database to "boost" their bonus.</v>
      </c>
      <c r="E8" s="21" t="s">
        <v>126</v>
      </c>
      <c r="F8" s="21" t="s">
        <v>128</v>
      </c>
      <c r="G8" s="23" t="s">
        <v>129</v>
      </c>
      <c r="H8" s="23" t="s">
        <v>130</v>
      </c>
      <c r="I8" s="23" t="s">
        <v>131</v>
      </c>
    </row>
    <row r="9" ht="52.5" customHeight="1">
      <c r="B9" s="20" t="str">
        <f>('Risk Identification'!B8:C8)</f>
        <v>RISK-004</v>
      </c>
      <c r="C9" s="13"/>
      <c r="D9" s="21" t="str">
        <f>('Risk Identification'!D8)</f>
        <v>Credential Exposure: Login passwords or DB strings stored in plain text in the system files.</v>
      </c>
      <c r="E9" s="21" t="s">
        <v>136</v>
      </c>
      <c r="F9" s="21" t="s">
        <v>137</v>
      </c>
      <c r="G9" s="23" t="s">
        <v>138</v>
      </c>
      <c r="H9" s="23" t="s">
        <v>139</v>
      </c>
      <c r="I9" s="23" t="s">
        <v>140</v>
      </c>
    </row>
    <row r="10" ht="57.0" customHeight="1">
      <c r="A10" s="19"/>
      <c r="B10" s="20" t="str">
        <f>('Risk Identification'!B9:C9)</f>
        <v>RISK-005</v>
      </c>
      <c r="C10" s="13"/>
      <c r="D10" s="21" t="str">
        <f>('Risk Identification'!D9)</f>
        <v>Payday System Crash: A DDoS attack making it impossible to process payroll on the 15th.</v>
      </c>
      <c r="E10" s="29" t="s">
        <v>143</v>
      </c>
      <c r="F10" s="29" t="s">
        <v>144</v>
      </c>
      <c r="G10" s="32" t="s">
        <v>145</v>
      </c>
      <c r="H10" s="32" t="s">
        <v>146</v>
      </c>
      <c r="I10" s="32" t="s">
        <v>147</v>
      </c>
    </row>
  </sheetData>
  <mergeCells count="11">
    <mergeCell ref="B7:C7"/>
    <mergeCell ref="B8:C8"/>
    <mergeCell ref="B10:C10"/>
    <mergeCell ref="B1:I1"/>
    <mergeCell ref="B2:F2"/>
    <mergeCell ref="B3:F3"/>
    <mergeCell ref="B4:G4"/>
    <mergeCell ref="B5:C5"/>
    <mergeCell ref="A6:A9"/>
    <mergeCell ref="B6:C6"/>
    <mergeCell ref="B9:C9"/>
  </mergeCells>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75"/>
    <col customWidth="1" min="2" max="3" width="11.75"/>
    <col customWidth="1" min="4" max="4" width="53.88"/>
    <col customWidth="1" min="5" max="8" width="13.5"/>
  </cols>
  <sheetData>
    <row r="1" ht="134.25" customHeight="1">
      <c r="A1" s="2"/>
      <c r="B1" s="3"/>
    </row>
    <row r="2" ht="28.5" customHeight="1">
      <c r="A2" s="4"/>
      <c r="B2" s="4" t="s">
        <v>1</v>
      </c>
      <c r="G2" s="4"/>
      <c r="H2" s="4"/>
    </row>
    <row r="3" ht="28.5" customHeight="1">
      <c r="A3" s="6"/>
      <c r="B3" s="6" t="s">
        <v>141</v>
      </c>
      <c r="G3" s="6"/>
      <c r="H3" s="6"/>
    </row>
    <row r="4" ht="10.5" customHeight="1">
      <c r="A4" s="7"/>
      <c r="B4" s="42"/>
    </row>
    <row r="5" ht="133.5" customHeight="1">
      <c r="B5" s="47" t="s">
        <v>142</v>
      </c>
    </row>
    <row r="6" ht="10.5" customHeight="1">
      <c r="B6" s="47"/>
    </row>
    <row r="7" ht="230.25" customHeight="1">
      <c r="B7" s="47" t="s">
        <v>148</v>
      </c>
      <c r="E7" s="48" t="s">
        <v>149</v>
      </c>
    </row>
    <row r="8" ht="10.5" customHeight="1">
      <c r="B8" s="47"/>
    </row>
    <row r="9" ht="107.25" customHeight="1">
      <c r="B9" s="47" t="s">
        <v>150</v>
      </c>
    </row>
    <row r="10" ht="10.5" customHeight="1">
      <c r="B10" s="49"/>
    </row>
    <row r="11" ht="36.0" customHeight="1">
      <c r="B11" s="50" t="s">
        <v>151</v>
      </c>
      <c r="C11" s="45"/>
      <c r="D11" s="50" t="s">
        <v>152</v>
      </c>
      <c r="E11" s="50" t="s">
        <v>153</v>
      </c>
      <c r="F11" s="50" t="s">
        <v>154</v>
      </c>
      <c r="G11" s="50" t="s">
        <v>155</v>
      </c>
      <c r="H11" s="50" t="s">
        <v>156</v>
      </c>
    </row>
    <row r="12" ht="27.75" customHeight="1">
      <c r="B12" s="51" t="s">
        <v>157</v>
      </c>
      <c r="C12" s="34"/>
      <c r="D12" s="52" t="s">
        <v>158</v>
      </c>
      <c r="E12" s="53">
        <v>3.0</v>
      </c>
      <c r="F12" s="53"/>
      <c r="G12" s="54"/>
      <c r="H12" s="55"/>
    </row>
    <row r="13" ht="27.75" customHeight="1">
      <c r="B13" s="23"/>
      <c r="D13" s="23"/>
      <c r="E13" s="55"/>
      <c r="F13" s="55"/>
      <c r="G13" s="56"/>
      <c r="H13" s="55"/>
    </row>
    <row r="14" ht="27.75" customHeight="1">
      <c r="B14" s="23"/>
      <c r="D14" s="23"/>
      <c r="E14" s="55"/>
      <c r="F14" s="55"/>
      <c r="G14" s="56"/>
      <c r="H14" s="55"/>
    </row>
    <row r="15" ht="27.75" customHeight="1">
      <c r="B15" s="57" t="s">
        <v>159</v>
      </c>
      <c r="D15" s="23" t="s">
        <v>160</v>
      </c>
      <c r="E15" s="55">
        <v>3.0</v>
      </c>
      <c r="F15" s="55"/>
      <c r="G15" s="56"/>
      <c r="H15" s="55"/>
    </row>
    <row r="16" ht="27.75" customHeight="1">
      <c r="B16" s="57" t="s">
        <v>161</v>
      </c>
      <c r="D16" s="58" t="s">
        <v>162</v>
      </c>
      <c r="E16" s="59">
        <v>3.0</v>
      </c>
      <c r="F16" s="59"/>
      <c r="G16" s="60"/>
      <c r="H16" s="55"/>
    </row>
  </sheetData>
  <mergeCells count="18">
    <mergeCell ref="B7:D7"/>
    <mergeCell ref="E7:H7"/>
    <mergeCell ref="B8:H8"/>
    <mergeCell ref="B9:H9"/>
    <mergeCell ref="B10:H10"/>
    <mergeCell ref="B11:C11"/>
    <mergeCell ref="B12:C12"/>
    <mergeCell ref="B13:C13"/>
    <mergeCell ref="B14:C14"/>
    <mergeCell ref="B15:C15"/>
    <mergeCell ref="B1:H1"/>
    <mergeCell ref="B2:F2"/>
    <mergeCell ref="B3:F3"/>
    <mergeCell ref="A4:A16"/>
    <mergeCell ref="B4:H4"/>
    <mergeCell ref="B5:H5"/>
    <mergeCell ref="B6:H6"/>
    <mergeCell ref="B16:C16"/>
  </mergeCells>
  <dataValidations>
    <dataValidation type="list" allowBlank="1" showErrorMessage="1" sqref="E12:H16">
      <formula1>"0,1,2,3"</formula1>
    </dataValidation>
  </dataValidations>
  <hyperlinks>
    <hyperlink r:id="rId1" ref="B12"/>
    <hyperlink r:id="rId2" ref="B15"/>
    <hyperlink r:id="rId3" ref="B16"/>
  </hyperlinks>
  <printOptions gridLines="1" horizontalCentered="1"/>
  <pageMargins bottom="0.75" footer="0.0" header="0.0" left="0.7" right="0.7" top="0.75"/>
  <pageSetup fitToHeight="0" cellComments="atEnd" orientation="landscape" pageOrder="overThenDown"/>
  <drawing r:id="rId4"/>
</worksheet>
</file>